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4rap\OneDrive\Desktop\"/>
    </mc:Choice>
  </mc:AlternateContent>
  <xr:revisionPtr revIDLastSave="0" documentId="13_ncr:1_{B8BDCFDF-25C1-4DA7-9098-AA6345B0CEF7}" xr6:coauthVersionLast="47" xr6:coauthVersionMax="47" xr10:uidLastSave="{00000000-0000-0000-0000-000000000000}"/>
  <bookViews>
    <workbookView xWindow="-108" yWindow="-108" windowWidth="23256" windowHeight="12456" activeTab="1" xr2:uid="{8A504836-5A54-47D5-8081-56625115326B}"/>
  </bookViews>
  <sheets>
    <sheet name="Sheet2" sheetId="2" r:id="rId1"/>
    <sheet name="Sheet1" sheetId="1" r:id="rId2"/>
  </sheets>
  <definedNames>
    <definedName name="_xlchart.v1.0" hidden="1">Sheet1!$G$9</definedName>
    <definedName name="_xlchart.v1.1" hidden="1">Sheet1!$H$9</definedName>
    <definedName name="_xlchart.v1.2" hidden="1">Sheet1!$G$9</definedName>
    <definedName name="_xlchart.v1.3" hidden="1">Sheet1!$H$9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4" i="1" l="1"/>
  <c r="H11" i="1"/>
  <c r="H10" i="1"/>
  <c r="H12" i="1"/>
  <c r="H13" i="1"/>
</calcChain>
</file>

<file path=xl/sharedStrings.xml><?xml version="1.0" encoding="utf-8"?>
<sst xmlns="http://schemas.openxmlformats.org/spreadsheetml/2006/main" count="102" uniqueCount="48">
  <si>
    <t>Date</t>
  </si>
  <si>
    <t>Expense Name</t>
  </si>
  <si>
    <t>Category</t>
  </si>
  <si>
    <t>Amount</t>
  </si>
  <si>
    <t>Payment Mode</t>
  </si>
  <si>
    <t>Mess Bill</t>
  </si>
  <si>
    <t>Bills</t>
  </si>
  <si>
    <t>UPI</t>
  </si>
  <si>
    <t>Metro Recharge</t>
  </si>
  <si>
    <t>Transport</t>
  </si>
  <si>
    <t>Notebooks &amp; Pens</t>
  </si>
  <si>
    <t>Shopping</t>
  </si>
  <si>
    <t>Cash</t>
  </si>
  <si>
    <t>Irani Chai &amp; Snacks</t>
  </si>
  <si>
    <t>Food</t>
  </si>
  <si>
    <t>Mobile Recharge</t>
  </si>
  <si>
    <t>Paradise Biryani</t>
  </si>
  <si>
    <t>Card</t>
  </si>
  <si>
    <t>Uber to Campus</t>
  </si>
  <si>
    <t>T-Shirt</t>
  </si>
  <si>
    <t>Groceries</t>
  </si>
  <si>
    <t>College Fest Pass</t>
  </si>
  <si>
    <t>Coffee with Friends</t>
  </si>
  <si>
    <t>Rapido Ride</t>
  </si>
  <si>
    <t>Semester Exam Fee</t>
  </si>
  <si>
    <t>Swiggy Order</t>
  </si>
  <si>
    <t>Printouts &amp; Xerox</t>
  </si>
  <si>
    <t>Movie Ticket</t>
  </si>
  <si>
    <t>Popcorn at Mall</t>
  </si>
  <si>
    <t>RTC Bus Ticket</t>
  </si>
  <si>
    <t>New Backpack</t>
  </si>
  <si>
    <t>Bakery Items</t>
  </si>
  <si>
    <t>Haircut</t>
  </si>
  <si>
    <t>Metro Ride</t>
  </si>
  <si>
    <t>Street Food</t>
  </si>
  <si>
    <t>Headphones</t>
  </si>
  <si>
    <t>Zomato Dinner</t>
  </si>
  <si>
    <t>Auto Rickshaw</t>
  </si>
  <si>
    <t>Gym Membership</t>
  </si>
  <si>
    <t>Shared Cab</t>
  </si>
  <si>
    <t>Ice Cream</t>
  </si>
  <si>
    <t>Total Expense</t>
  </si>
  <si>
    <t>Total Food Expense</t>
  </si>
  <si>
    <t>Total Transport Expense</t>
  </si>
  <si>
    <t>Smart Expense Tracker Dashboard</t>
  </si>
  <si>
    <t>Quick Summary</t>
  </si>
  <si>
    <t>Total Bills</t>
  </si>
  <si>
    <t>Total Shopping 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</si>
</sst>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7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sz val="11"/>
      <color theme="1"/>
      <name val="Arial"/>
      <family val="2"/>
    </font>
    <font>
      <sz val="16"/>
      <color theme="0"/>
      <name val="Arial Black"/>
      <family val="2"/>
    </font>
    <font>
      <sz val="11"/>
      <color theme="0"/>
      <name val="Arial Black"/>
      <family val="2"/>
    </font>
    <font>
      <sz val="12"/>
      <color theme="1"/>
      <name val="Arial"/>
      <family val="2"/>
    </font>
    <font>
      <b/>
      <sz val="11"/>
      <color theme="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/>
        <bgColor indexed="64"/>
      </patternFill>
    </fill>
  </fills>
  <borders count="22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499984740745262"/>
      </left>
      <right style="medium">
        <color rgb="FF000000"/>
      </right>
      <top style="thin">
        <color theme="0" tint="-0.499984740745262"/>
      </top>
      <bottom/>
      <diagonal/>
    </border>
    <border>
      <left style="medium">
        <color rgb="FF000000"/>
      </left>
      <right style="medium">
        <color rgb="FF000000"/>
      </right>
      <top style="thin">
        <color theme="0" tint="-0.499984740745262"/>
      </top>
      <bottom/>
      <diagonal/>
    </border>
    <border>
      <left style="medium">
        <color rgb="FF000000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medium">
        <color theme="0" tint="-0.34998626667073579"/>
      </left>
      <right style="thin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 style="thin">
        <color theme="0" tint="-0.34998626667073579"/>
      </top>
      <bottom style="medium">
        <color theme="0" tint="-0.34998626667073579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/>
    </xf>
    <xf numFmtId="164" fontId="0" fillId="0" borderId="0" xfId="0" applyNumberFormat="1" applyAlignment="1">
      <alignment horizontal="left"/>
    </xf>
    <xf numFmtId="0" fontId="5" fillId="3" borderId="0" xfId="0" applyFont="1" applyFill="1" applyAlignment="1">
      <alignment horizontal="left"/>
    </xf>
    <xf numFmtId="164" fontId="5" fillId="3" borderId="0" xfId="0" applyNumberFormat="1" applyFont="1" applyFill="1" applyAlignment="1">
      <alignment horizontal="lef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3" borderId="0" xfId="0" applyFont="1" applyFill="1"/>
    <xf numFmtId="0" fontId="4" fillId="4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6" fillId="0" borderId="11" xfId="0" applyFont="1" applyBorder="1" applyAlignment="1">
      <alignment horizontal="left" vertical="center" wrapText="1" indent="1" readingOrder="1"/>
    </xf>
    <xf numFmtId="0" fontId="6" fillId="0" borderId="12" xfId="0" applyFont="1" applyBorder="1" applyAlignment="1">
      <alignment horizontal="left" vertical="center" wrapText="1" indent="1" readingOrder="1"/>
    </xf>
    <xf numFmtId="0" fontId="6" fillId="0" borderId="12" xfId="0" applyFont="1" applyBorder="1" applyAlignment="1">
      <alignment horizontal="left" vertical="center" wrapText="1" readingOrder="1"/>
    </xf>
    <xf numFmtId="0" fontId="6" fillId="0" borderId="13" xfId="0" applyFont="1" applyBorder="1" applyAlignment="1">
      <alignment horizontal="center" vertical="center" wrapText="1" readingOrder="1"/>
    </xf>
    <xf numFmtId="0" fontId="1" fillId="0" borderId="10" xfId="0" applyFont="1" applyBorder="1" applyAlignment="1">
      <alignment horizontal="left" vertical="center" wrapText="1" indent="1" readingOrder="1"/>
    </xf>
    <xf numFmtId="0" fontId="1" fillId="0" borderId="10" xfId="0" applyFont="1" applyBorder="1" applyAlignment="1">
      <alignment horizontal="left" vertical="center" wrapText="1" readingOrder="1"/>
    </xf>
    <xf numFmtId="14" fontId="1" fillId="0" borderId="14" xfId="0" applyNumberFormat="1" applyFont="1" applyBorder="1" applyAlignment="1">
      <alignment horizontal="left" vertical="center" wrapText="1" indent="1" readingOrder="1"/>
    </xf>
    <xf numFmtId="0" fontId="1" fillId="0" borderId="15" xfId="0" applyFont="1" applyBorder="1" applyAlignment="1">
      <alignment horizontal="left" vertical="center" wrapText="1" indent="1" readingOrder="1"/>
    </xf>
    <xf numFmtId="0" fontId="1" fillId="0" borderId="15" xfId="0" applyFont="1" applyBorder="1" applyAlignment="1">
      <alignment horizontal="left" vertical="center" wrapText="1" readingOrder="1"/>
    </xf>
    <xf numFmtId="0" fontId="1" fillId="0" borderId="16" xfId="0" applyFont="1" applyBorder="1" applyAlignment="1">
      <alignment horizontal="center" vertical="center" wrapText="1" readingOrder="1"/>
    </xf>
    <xf numFmtId="14" fontId="1" fillId="0" borderId="17" xfId="0" applyNumberFormat="1" applyFont="1" applyBorder="1" applyAlignment="1">
      <alignment horizontal="left" vertical="center" wrapText="1" indent="1" readingOrder="1"/>
    </xf>
    <xf numFmtId="0" fontId="1" fillId="0" borderId="18" xfId="0" applyFont="1" applyBorder="1" applyAlignment="1">
      <alignment horizontal="center" vertical="center" wrapText="1" readingOrder="1"/>
    </xf>
    <xf numFmtId="14" fontId="1" fillId="0" borderId="19" xfId="0" applyNumberFormat="1" applyFont="1" applyBorder="1" applyAlignment="1">
      <alignment horizontal="left" vertical="center" wrapText="1" indent="1" readingOrder="1"/>
    </xf>
    <xf numFmtId="0" fontId="1" fillId="0" borderId="20" xfId="0" applyFont="1" applyBorder="1" applyAlignment="1">
      <alignment horizontal="left" vertical="center" wrapText="1" indent="1" readingOrder="1"/>
    </xf>
    <xf numFmtId="0" fontId="1" fillId="0" borderId="20" xfId="0" applyFont="1" applyBorder="1" applyAlignment="1">
      <alignment horizontal="left" vertical="center" wrapText="1" readingOrder="1"/>
    </xf>
    <xf numFmtId="0" fontId="1" fillId="0" borderId="21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center" vertical="center" textRotation="0" wrapText="1" indent="0" justifyLastLine="0" shrinkToFit="0" readingOrder="1"/>
      <border diagonalUp="0" diagonalDown="0">
        <left style="thin">
          <color theme="0" tint="-0.34998626667073579"/>
        </left>
        <right style="medium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0" justifyLastLine="0" shrinkToFit="0" readingOrder="1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numFmt numFmtId="19" formatCode="dd/mm/yyyy"/>
      <alignment horizontal="left" vertical="center" textRotation="0" wrapText="1" indent="1" justifyLastLine="0" shrinkToFit="0" readingOrder="1"/>
      <border diagonalUp="0" diagonalDown="0">
        <left style="medium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border outline="0">
        <top style="medium">
          <color rgb="FF000000"/>
        </top>
      </border>
    </dxf>
    <dxf>
      <border>
        <bottom style="thin">
          <color theme="0" tint="-0.499984740745262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2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/>
        <bottom/>
        <vertical style="medium">
          <color rgb="FF000000"/>
        </vertical>
        <horizontal/>
      </border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[Expense Tracker.xlsx]Sheet2!PivotTable1</c:name>
    <c:fmtId val="0"/>
  </c:pivotSource>
  <c:chart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0224768"/>
        <c:axId val="480220928"/>
      </c:barChart>
      <c:catAx>
        <c:axId val="4802247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0220928"/>
        <c:crosses val="autoZero"/>
        <c:auto val="1"/>
        <c:lblAlgn val="ctr"/>
        <c:lblOffset val="100"/>
        <c:noMultiLvlLbl val="0"/>
      </c:catAx>
      <c:valAx>
        <c:axId val="480220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0224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 Expense Breakdown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9AA3-4767-B5E5-194BD1C6FDF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9AA3-4767-B5E5-194BD1C6FDF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9AA3-4767-B5E5-194BD1C6FDF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9AA3-4767-B5E5-194BD1C6FDF8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Sheet1!$G$11:$G$14</c:f>
              <c:strCache>
                <c:ptCount val="4"/>
                <c:pt idx="0">
                  <c:v>Total Bills</c:v>
                </c:pt>
                <c:pt idx="1">
                  <c:v>Total Food Expense</c:v>
                </c:pt>
                <c:pt idx="2">
                  <c:v>Total Transport Expense</c:v>
                </c:pt>
                <c:pt idx="3">
                  <c:v>Total Shopping Expense</c:v>
                </c:pt>
              </c:strCache>
            </c:strRef>
          </c:cat>
          <c:val>
            <c:numRef>
              <c:f>Sheet1!$H$11:$H$14</c:f>
              <c:numCache>
                <c:formatCode>"₹"\ #,##0.00</c:formatCode>
                <c:ptCount val="4"/>
                <c:pt idx="0">
                  <c:v>6544</c:v>
                </c:pt>
                <c:pt idx="1">
                  <c:v>4070</c:v>
                </c:pt>
                <c:pt idx="2">
                  <c:v>985</c:v>
                </c:pt>
                <c:pt idx="3">
                  <c:v>3898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A4-4C05-810D-124DDA3B30E8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190500</xdr:colOff>
      <xdr:row>4</xdr:row>
      <xdr:rowOff>99060</xdr:rowOff>
    </xdr:from>
    <xdr:to>
      <xdr:col>14</xdr:col>
      <xdr:colOff>495300</xdr:colOff>
      <xdr:row>19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E3FF80-688F-4BB3-D069-1B64C68CE7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39780</xdr:colOff>
      <xdr:row>1</xdr:row>
      <xdr:rowOff>284782</xdr:rowOff>
    </xdr:from>
    <xdr:to>
      <xdr:col>20</xdr:col>
      <xdr:colOff>482564</xdr:colOff>
      <xdr:row>18</xdr:row>
      <xdr:rowOff>61502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354A500-8839-111D-3B60-EAEFB077AF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waz Ahmed" refreshedDate="46108.952288541666" createdVersion="8" refreshedVersion="8" minRefreshableVersion="3" recordCount="2" xr:uid="{2E84D316-EF89-47F2-92D2-225654EB7D1C}">
  <cacheSource type="worksheet">
    <worksheetSource ref="G11:H13" sheet="Sheet1"/>
  </cacheSource>
  <cacheFields count="2">
    <cacheField name="Total Number of Entries" numFmtId="0">
      <sharedItems/>
    </cacheField>
    <cacheField name="₹ 30.00" numFmtId="164">
      <sharedItems containsSemiMixedTypes="0" containsString="0" containsNumber="1" containsInteger="1" minValue="985" maxValue="407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s v="Total Food Expense"/>
    <n v="4070"/>
  </r>
  <r>
    <s v="Total Transport Expense"/>
    <n v="98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A9B308-7B60-41FA-928C-A16B550A42B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C18" firstHeaderRow="1" firstDataRow="1" firstDataCol="0"/>
  <pivotFields count="2">
    <pivotField showAll="0"/>
    <pivotField numFmtId="164"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C232D17-95ED-4E03-816C-18E09FF6101D}" name="Table4" displayName="Table4" ref="A2:E32" totalsRowShown="0" headerRowDxfId="8" headerRowBorderDxfId="6" tableBorderDxfId="7" totalsRowBorderDxfId="5">
  <autoFilter ref="A2:E32" xr:uid="{FC232D17-95ED-4E03-816C-18E09FF6101D}"/>
  <tableColumns count="5">
    <tableColumn id="1" xr3:uid="{511C637E-7F74-4D5A-8A46-204F93A3E8FF}" name="Date" dataDxfId="4"/>
    <tableColumn id="2" xr3:uid="{1F877A73-8BF8-46AD-8205-12E97F4F9581}" name="Expense Name" dataDxfId="3"/>
    <tableColumn id="3" xr3:uid="{05B7BFAD-1BD4-4DE9-989E-817B31893933}" name="Category" dataDxfId="2"/>
    <tableColumn id="4" xr3:uid="{5F2AB821-A570-4E9A-AF74-387A6F819678}" name="Amount" dataDxfId="1"/>
    <tableColumn id="5" xr3:uid="{773093FA-5DC1-440F-B86E-C8F745AD7054}" name="Payment Mod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A6FD2-C4F5-4A7B-8176-E00D7D9F949D}">
  <dimension ref="A1:C18"/>
  <sheetViews>
    <sheetView workbookViewId="0">
      <selection activeCell="M1" sqref="M1:M1048576"/>
    </sheetView>
  </sheetViews>
  <sheetFormatPr defaultRowHeight="14.4" x14ac:dyDescent="0.3"/>
  <sheetData>
    <row r="1" spans="1:3" x14ac:dyDescent="0.3">
      <c r="A1" s="8"/>
      <c r="B1" s="9"/>
      <c r="C1" s="10"/>
    </row>
    <row r="2" spans="1:3" x14ac:dyDescent="0.3">
      <c r="A2" s="11"/>
      <c r="B2" s="12"/>
      <c r="C2" s="13"/>
    </row>
    <row r="3" spans="1:3" x14ac:dyDescent="0.3">
      <c r="A3" s="11"/>
      <c r="B3" s="12"/>
      <c r="C3" s="13"/>
    </row>
    <row r="4" spans="1:3" x14ac:dyDescent="0.3">
      <c r="A4" s="11"/>
      <c r="B4" s="12"/>
      <c r="C4" s="13"/>
    </row>
    <row r="5" spans="1:3" x14ac:dyDescent="0.3">
      <c r="A5" s="11"/>
      <c r="B5" s="12"/>
      <c r="C5" s="13"/>
    </row>
    <row r="6" spans="1:3" x14ac:dyDescent="0.3">
      <c r="A6" s="11"/>
      <c r="B6" s="12"/>
      <c r="C6" s="13"/>
    </row>
    <row r="7" spans="1:3" x14ac:dyDescent="0.3">
      <c r="A7" s="11"/>
      <c r="B7" s="12"/>
      <c r="C7" s="13"/>
    </row>
    <row r="8" spans="1:3" x14ac:dyDescent="0.3">
      <c r="A8" s="11"/>
      <c r="B8" s="12"/>
      <c r="C8" s="13"/>
    </row>
    <row r="9" spans="1:3" x14ac:dyDescent="0.3">
      <c r="A9" s="11"/>
      <c r="B9" s="12"/>
      <c r="C9" s="13"/>
    </row>
    <row r="10" spans="1:3" x14ac:dyDescent="0.3">
      <c r="A10" s="11"/>
      <c r="B10" s="12"/>
      <c r="C10" s="13"/>
    </row>
    <row r="11" spans="1:3" x14ac:dyDescent="0.3">
      <c r="A11" s="11"/>
      <c r="B11" s="12"/>
      <c r="C11" s="13"/>
    </row>
    <row r="12" spans="1:3" x14ac:dyDescent="0.3">
      <c r="A12" s="11"/>
      <c r="B12" s="12"/>
      <c r="C12" s="13"/>
    </row>
    <row r="13" spans="1:3" x14ac:dyDescent="0.3">
      <c r="A13" s="11"/>
      <c r="B13" s="12"/>
      <c r="C13" s="13"/>
    </row>
    <row r="14" spans="1:3" x14ac:dyDescent="0.3">
      <c r="A14" s="11"/>
      <c r="B14" s="12"/>
      <c r="C14" s="13"/>
    </row>
    <row r="15" spans="1:3" x14ac:dyDescent="0.3">
      <c r="A15" s="11"/>
      <c r="B15" s="12"/>
      <c r="C15" s="13"/>
    </row>
    <row r="16" spans="1:3" x14ac:dyDescent="0.3">
      <c r="A16" s="11"/>
      <c r="B16" s="12"/>
      <c r="C16" s="13"/>
    </row>
    <row r="17" spans="1:3" x14ac:dyDescent="0.3">
      <c r="A17" s="11"/>
      <c r="B17" s="12"/>
      <c r="C17" s="13"/>
    </row>
    <row r="18" spans="1:3" x14ac:dyDescent="0.3">
      <c r="A18" s="14"/>
      <c r="B18" s="15"/>
      <c r="C18" s="16"/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2A006-76FA-42F5-8284-BB0FF6032DAF}">
  <dimension ref="A1:H40"/>
  <sheetViews>
    <sheetView showGridLines="0" tabSelected="1" zoomScale="73" zoomScaleNormal="73" workbookViewId="0">
      <pane ySplit="2" topLeftCell="A3" activePane="bottomLeft" state="frozen"/>
      <selection pane="bottomLeft" activeCell="H19" sqref="H19"/>
    </sheetView>
  </sheetViews>
  <sheetFormatPr defaultRowHeight="14.4" x14ac:dyDescent="0.3"/>
  <cols>
    <col min="1" max="1" width="17.5546875" customWidth="1"/>
    <col min="2" max="2" width="24.88671875" customWidth="1"/>
    <col min="3" max="3" width="26.6640625" style="2" customWidth="1"/>
    <col min="4" max="4" width="14.6640625" customWidth="1"/>
    <col min="5" max="5" width="23.5546875" style="1" customWidth="1"/>
    <col min="6" max="6" width="16.5546875" customWidth="1"/>
    <col min="7" max="7" width="29" customWidth="1"/>
    <col min="8" max="8" width="15.5546875" customWidth="1"/>
  </cols>
  <sheetData>
    <row r="1" spans="1:8" ht="36" customHeight="1" x14ac:dyDescent="0.3">
      <c r="A1" s="19" t="s">
        <v>44</v>
      </c>
      <c r="B1" s="19"/>
      <c r="C1" s="19"/>
      <c r="D1" s="19"/>
      <c r="E1" s="19"/>
    </row>
    <row r="2" spans="1:8" ht="23.4" customHeight="1" thickBot="1" x14ac:dyDescent="0.35">
      <c r="A2" s="20" t="s">
        <v>0</v>
      </c>
      <c r="B2" s="21" t="s">
        <v>1</v>
      </c>
      <c r="C2" s="22" t="s">
        <v>2</v>
      </c>
      <c r="D2" s="21" t="s">
        <v>3</v>
      </c>
      <c r="E2" s="23" t="s">
        <v>4</v>
      </c>
    </row>
    <row r="3" spans="1:8" ht="22.05" customHeight="1" x14ac:dyDescent="0.3">
      <c r="A3" s="26">
        <v>46082</v>
      </c>
      <c r="B3" s="27" t="s">
        <v>5</v>
      </c>
      <c r="C3" s="28" t="s">
        <v>6</v>
      </c>
      <c r="D3" s="27">
        <v>3500</v>
      </c>
      <c r="E3" s="29" t="s">
        <v>7</v>
      </c>
      <c r="G3" s="5"/>
    </row>
    <row r="4" spans="1:8" ht="22.05" customHeight="1" x14ac:dyDescent="0.3">
      <c r="A4" s="30">
        <v>46083</v>
      </c>
      <c r="B4" s="24" t="s">
        <v>8</v>
      </c>
      <c r="C4" s="25" t="s">
        <v>9</v>
      </c>
      <c r="D4" s="24">
        <v>500</v>
      </c>
      <c r="E4" s="31" t="s">
        <v>7</v>
      </c>
    </row>
    <row r="5" spans="1:8" ht="22.05" customHeight="1" x14ac:dyDescent="0.3">
      <c r="A5" s="30">
        <v>46084</v>
      </c>
      <c r="B5" s="24" t="s">
        <v>10</v>
      </c>
      <c r="C5" s="25" t="s">
        <v>11</v>
      </c>
      <c r="D5" s="24">
        <v>250</v>
      </c>
      <c r="E5" s="31" t="s">
        <v>12</v>
      </c>
    </row>
    <row r="6" spans="1:8" ht="22.05" customHeight="1" x14ac:dyDescent="0.3">
      <c r="A6" s="30">
        <v>46085</v>
      </c>
      <c r="B6" s="24" t="s">
        <v>13</v>
      </c>
      <c r="C6" s="25" t="s">
        <v>14</v>
      </c>
      <c r="D6" s="24">
        <v>80</v>
      </c>
      <c r="E6" s="31" t="s">
        <v>12</v>
      </c>
    </row>
    <row r="7" spans="1:8" ht="22.05" customHeight="1" x14ac:dyDescent="0.3">
      <c r="A7" s="30">
        <v>46087</v>
      </c>
      <c r="B7" s="24" t="s">
        <v>15</v>
      </c>
      <c r="C7" s="25" t="s">
        <v>6</v>
      </c>
      <c r="D7" s="24">
        <v>299</v>
      </c>
      <c r="E7" s="31" t="s">
        <v>7</v>
      </c>
    </row>
    <row r="8" spans="1:8" ht="22.05" customHeight="1" x14ac:dyDescent="0.3">
      <c r="A8" s="30">
        <v>46088</v>
      </c>
      <c r="B8" s="24" t="s">
        <v>16</v>
      </c>
      <c r="C8" s="25" t="s">
        <v>14</v>
      </c>
      <c r="D8" s="24">
        <v>350</v>
      </c>
      <c r="E8" s="31" t="s">
        <v>17</v>
      </c>
    </row>
    <row r="9" spans="1:8" ht="22.05" customHeight="1" x14ac:dyDescent="0.45">
      <c r="A9" s="30">
        <v>46089</v>
      </c>
      <c r="B9" s="24" t="s">
        <v>18</v>
      </c>
      <c r="C9" s="25" t="s">
        <v>9</v>
      </c>
      <c r="D9" s="24">
        <v>150</v>
      </c>
      <c r="E9" s="31" t="s">
        <v>7</v>
      </c>
      <c r="G9" s="18" t="s">
        <v>45</v>
      </c>
      <c r="H9" s="18"/>
    </row>
    <row r="10" spans="1:8" ht="22.05" customHeight="1" x14ac:dyDescent="0.3">
      <c r="A10" s="30">
        <v>46090</v>
      </c>
      <c r="B10" s="24" t="s">
        <v>19</v>
      </c>
      <c r="C10" s="25" t="s">
        <v>11</v>
      </c>
      <c r="D10" s="24">
        <v>699</v>
      </c>
      <c r="E10" s="31" t="s">
        <v>17</v>
      </c>
      <c r="G10" s="6" t="s">
        <v>41</v>
      </c>
      <c r="H10" s="7">
        <f>SUM(D3:D32)</f>
        <v>15497</v>
      </c>
    </row>
    <row r="11" spans="1:8" ht="22.05" customHeight="1" x14ac:dyDescent="0.3">
      <c r="A11" s="30">
        <v>46091</v>
      </c>
      <c r="B11" s="24" t="s">
        <v>20</v>
      </c>
      <c r="C11" s="25" t="s">
        <v>14</v>
      </c>
      <c r="D11" s="24">
        <v>1200</v>
      </c>
      <c r="E11" s="31" t="s">
        <v>7</v>
      </c>
      <c r="G11" s="6" t="s">
        <v>46</v>
      </c>
      <c r="H11" s="7">
        <f>SUMIF(C3:C32,"Bills",D3:D32)</f>
        <v>6544</v>
      </c>
    </row>
    <row r="12" spans="1:8" ht="22.05" customHeight="1" x14ac:dyDescent="0.3">
      <c r="A12" s="30">
        <v>46092</v>
      </c>
      <c r="B12" s="24" t="s">
        <v>21</v>
      </c>
      <c r="C12" s="25" t="s">
        <v>11</v>
      </c>
      <c r="D12" s="24">
        <v>300</v>
      </c>
      <c r="E12" s="31" t="s">
        <v>12</v>
      </c>
      <c r="G12" s="6" t="s">
        <v>42</v>
      </c>
      <c r="H12" s="7">
        <f>SUMIF(C3:C32, "Food", D3:D32)</f>
        <v>4070</v>
      </c>
    </row>
    <row r="13" spans="1:8" ht="22.05" customHeight="1" x14ac:dyDescent="0.3">
      <c r="A13" s="30">
        <v>46093</v>
      </c>
      <c r="B13" s="24" t="s">
        <v>22</v>
      </c>
      <c r="C13" s="25" t="s">
        <v>14</v>
      </c>
      <c r="D13" s="24">
        <v>450</v>
      </c>
      <c r="E13" s="31" t="s">
        <v>7</v>
      </c>
      <c r="G13" s="6" t="s">
        <v>43</v>
      </c>
      <c r="H13" s="7">
        <f>SUMIF(C3:C32, "Transport", D3:D32)</f>
        <v>985</v>
      </c>
    </row>
    <row r="14" spans="1:8" ht="22.05" customHeight="1" x14ac:dyDescent="0.3">
      <c r="A14" s="30">
        <v>46095</v>
      </c>
      <c r="B14" s="24" t="s">
        <v>23</v>
      </c>
      <c r="C14" s="25" t="s">
        <v>9</v>
      </c>
      <c r="D14" s="24">
        <v>60</v>
      </c>
      <c r="E14" s="31" t="s">
        <v>12</v>
      </c>
      <c r="G14" s="17" t="s">
        <v>47</v>
      </c>
      <c r="H14" s="7">
        <f>SUMIF(C3:C32,"Shopping",D3:D32)</f>
        <v>3898</v>
      </c>
    </row>
    <row r="15" spans="1:8" ht="22.05" customHeight="1" x14ac:dyDescent="0.3">
      <c r="A15" s="30">
        <v>46096</v>
      </c>
      <c r="B15" s="24" t="s">
        <v>24</v>
      </c>
      <c r="C15" s="25" t="s">
        <v>6</v>
      </c>
      <c r="D15" s="24">
        <v>1500</v>
      </c>
      <c r="E15" s="31" t="s">
        <v>17</v>
      </c>
    </row>
    <row r="16" spans="1:8" ht="22.05" customHeight="1" x14ac:dyDescent="0.3">
      <c r="A16" s="30">
        <v>46097</v>
      </c>
      <c r="B16" s="24" t="s">
        <v>25</v>
      </c>
      <c r="C16" s="25" t="s">
        <v>14</v>
      </c>
      <c r="D16" s="24">
        <v>280</v>
      </c>
      <c r="E16" s="31" t="s">
        <v>7</v>
      </c>
    </row>
    <row r="17" spans="1:5" ht="22.05" customHeight="1" x14ac:dyDescent="0.3">
      <c r="A17" s="30">
        <v>46098</v>
      </c>
      <c r="B17" s="24" t="s">
        <v>26</v>
      </c>
      <c r="C17" s="25" t="s">
        <v>6</v>
      </c>
      <c r="D17" s="24">
        <v>45</v>
      </c>
      <c r="E17" s="31" t="s">
        <v>12</v>
      </c>
    </row>
    <row r="18" spans="1:5" ht="22.05" customHeight="1" x14ac:dyDescent="0.3">
      <c r="A18" s="30">
        <v>46099</v>
      </c>
      <c r="B18" s="24" t="s">
        <v>27</v>
      </c>
      <c r="C18" s="25" t="s">
        <v>11</v>
      </c>
      <c r="D18" s="24">
        <v>250</v>
      </c>
      <c r="E18" s="31" t="s">
        <v>7</v>
      </c>
    </row>
    <row r="19" spans="1:5" ht="22.05" customHeight="1" x14ac:dyDescent="0.3">
      <c r="A19" s="30">
        <v>46100</v>
      </c>
      <c r="B19" s="24" t="s">
        <v>28</v>
      </c>
      <c r="C19" s="25" t="s">
        <v>14</v>
      </c>
      <c r="D19" s="24">
        <v>180</v>
      </c>
      <c r="E19" s="31" t="s">
        <v>7</v>
      </c>
    </row>
    <row r="20" spans="1:5" ht="22.05" customHeight="1" x14ac:dyDescent="0.3">
      <c r="A20" s="30">
        <v>46101</v>
      </c>
      <c r="B20" s="24" t="s">
        <v>29</v>
      </c>
      <c r="C20" s="25" t="s">
        <v>9</v>
      </c>
      <c r="D20" s="24">
        <v>35</v>
      </c>
      <c r="E20" s="31" t="s">
        <v>12</v>
      </c>
    </row>
    <row r="21" spans="1:5" ht="22.05" customHeight="1" x14ac:dyDescent="0.3">
      <c r="A21" s="30">
        <v>46102</v>
      </c>
      <c r="B21" s="24" t="s">
        <v>30</v>
      </c>
      <c r="C21" s="25" t="s">
        <v>11</v>
      </c>
      <c r="D21" s="24">
        <v>1400</v>
      </c>
      <c r="E21" s="31" t="s">
        <v>17</v>
      </c>
    </row>
    <row r="22" spans="1:5" ht="22.05" customHeight="1" x14ac:dyDescent="0.3">
      <c r="A22" s="30">
        <v>46103</v>
      </c>
      <c r="B22" s="24" t="s">
        <v>31</v>
      </c>
      <c r="C22" s="25" t="s">
        <v>14</v>
      </c>
      <c r="D22" s="24">
        <v>120</v>
      </c>
      <c r="E22" s="31" t="s">
        <v>12</v>
      </c>
    </row>
    <row r="23" spans="1:5" ht="22.05" customHeight="1" x14ac:dyDescent="0.3">
      <c r="A23" s="30">
        <v>46104</v>
      </c>
      <c r="B23" s="24" t="s">
        <v>32</v>
      </c>
      <c r="C23" s="25" t="s">
        <v>6</v>
      </c>
      <c r="D23" s="24">
        <v>200</v>
      </c>
      <c r="E23" s="31" t="s">
        <v>7</v>
      </c>
    </row>
    <row r="24" spans="1:5" ht="22.05" customHeight="1" x14ac:dyDescent="0.3">
      <c r="A24" s="30">
        <v>46105</v>
      </c>
      <c r="B24" s="24" t="s">
        <v>33</v>
      </c>
      <c r="C24" s="25" t="s">
        <v>9</v>
      </c>
      <c r="D24" s="24">
        <v>40</v>
      </c>
      <c r="E24" s="31" t="s">
        <v>12</v>
      </c>
    </row>
    <row r="25" spans="1:5" ht="22.05" customHeight="1" x14ac:dyDescent="0.3">
      <c r="A25" s="30">
        <v>46106</v>
      </c>
      <c r="B25" s="24" t="s">
        <v>34</v>
      </c>
      <c r="C25" s="25" t="s">
        <v>14</v>
      </c>
      <c r="D25" s="24">
        <v>150</v>
      </c>
      <c r="E25" s="31" t="s">
        <v>12</v>
      </c>
    </row>
    <row r="26" spans="1:5" ht="22.05" customHeight="1" x14ac:dyDescent="0.3">
      <c r="A26" s="30">
        <v>46107</v>
      </c>
      <c r="B26" s="24" t="s">
        <v>35</v>
      </c>
      <c r="C26" s="25" t="s">
        <v>11</v>
      </c>
      <c r="D26" s="24">
        <v>999</v>
      </c>
      <c r="E26" s="31" t="s">
        <v>17</v>
      </c>
    </row>
    <row r="27" spans="1:5" ht="22.05" customHeight="1" x14ac:dyDescent="0.3">
      <c r="A27" s="30">
        <v>46108</v>
      </c>
      <c r="B27" s="24" t="s">
        <v>36</v>
      </c>
      <c r="C27" s="25" t="s">
        <v>14</v>
      </c>
      <c r="D27" s="24">
        <v>320</v>
      </c>
      <c r="E27" s="31" t="s">
        <v>7</v>
      </c>
    </row>
    <row r="28" spans="1:5" ht="22.05" customHeight="1" x14ac:dyDescent="0.3">
      <c r="A28" s="30">
        <v>46109</v>
      </c>
      <c r="B28" s="24" t="s">
        <v>37</v>
      </c>
      <c r="C28" s="25" t="s">
        <v>9</v>
      </c>
      <c r="D28" s="24">
        <v>80</v>
      </c>
      <c r="E28" s="31" t="s">
        <v>12</v>
      </c>
    </row>
    <row r="29" spans="1:5" ht="22.05" customHeight="1" x14ac:dyDescent="0.3">
      <c r="A29" s="30">
        <v>46110</v>
      </c>
      <c r="B29" s="24" t="s">
        <v>38</v>
      </c>
      <c r="C29" s="25" t="s">
        <v>6</v>
      </c>
      <c r="D29" s="24">
        <v>1000</v>
      </c>
      <c r="E29" s="31" t="s">
        <v>7</v>
      </c>
    </row>
    <row r="30" spans="1:5" ht="22.05" customHeight="1" x14ac:dyDescent="0.3">
      <c r="A30" s="30">
        <v>46111</v>
      </c>
      <c r="B30" s="24" t="s">
        <v>20</v>
      </c>
      <c r="C30" s="25" t="s">
        <v>14</v>
      </c>
      <c r="D30" s="24">
        <v>850</v>
      </c>
      <c r="E30" s="31" t="s">
        <v>17</v>
      </c>
    </row>
    <row r="31" spans="1:5" ht="22.05" customHeight="1" x14ac:dyDescent="0.3">
      <c r="A31" s="30">
        <v>46112</v>
      </c>
      <c r="B31" s="24" t="s">
        <v>39</v>
      </c>
      <c r="C31" s="25" t="s">
        <v>9</v>
      </c>
      <c r="D31" s="24">
        <v>120</v>
      </c>
      <c r="E31" s="31" t="s">
        <v>7</v>
      </c>
    </row>
    <row r="32" spans="1:5" ht="22.05" customHeight="1" thickBot="1" x14ac:dyDescent="0.35">
      <c r="A32" s="32">
        <v>46112</v>
      </c>
      <c r="B32" s="33" t="s">
        <v>40</v>
      </c>
      <c r="C32" s="34" t="s">
        <v>14</v>
      </c>
      <c r="D32" s="33">
        <v>90</v>
      </c>
      <c r="E32" s="35" t="s">
        <v>12</v>
      </c>
    </row>
    <row r="36" spans="2:4" x14ac:dyDescent="0.3">
      <c r="B36" s="3"/>
    </row>
    <row r="37" spans="2:4" x14ac:dyDescent="0.3">
      <c r="B37" s="3"/>
    </row>
    <row r="38" spans="2:4" x14ac:dyDescent="0.3">
      <c r="B38" s="3"/>
    </row>
    <row r="39" spans="2:4" x14ac:dyDescent="0.3">
      <c r="B39" s="3"/>
    </row>
    <row r="40" spans="2:4" x14ac:dyDescent="0.3">
      <c r="B40" s="3"/>
      <c r="C40" s="4"/>
      <c r="D40" s="3"/>
    </row>
  </sheetData>
  <mergeCells count="2">
    <mergeCell ref="G9:H9"/>
    <mergeCell ref="A1:E1"/>
  </mergeCells>
  <conditionalFormatting sqref="D3:D32">
    <cfRule type="cellIs" dxfId="9" priority="1" operator="greaterThan">
      <formula>1000</formula>
    </cfRule>
  </conditionalFormatting>
  <dataValidations count="2">
    <dataValidation type="list" allowBlank="1" showInputMessage="1" showErrorMessage="1" sqref="C2:C32" xr:uid="{82BD40A1-DD9D-4765-A143-ABEC83D4DFAC}">
      <formula1>"Food,Transport,Shopping,Bills"</formula1>
    </dataValidation>
    <dataValidation type="list" allowBlank="1" showInputMessage="1" showErrorMessage="1" sqref="E3:E32" xr:uid="{326DF632-321C-4AE8-B2C4-E40D983F1555}">
      <formula1>"Cash,UPI,Card"</formula1>
    </dataValidation>
  </dataValidations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Fawaz Ahmed</dc:creator>
  <cp:lastModifiedBy>Fawaz Ahmed</cp:lastModifiedBy>
  <dcterms:created xsi:type="dcterms:W3CDTF">2026-03-27T14:04:58Z</dcterms:created>
  <dcterms:modified xsi:type="dcterms:W3CDTF">2026-03-27T18:41:50Z</dcterms:modified>
</cp:coreProperties>
</file>